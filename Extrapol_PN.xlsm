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blancnic\NB\CARTO\CELTIC\TEMP\2021.10.27\"/>
    </mc:Choice>
  </mc:AlternateContent>
  <bookViews>
    <workbookView xWindow="5310" yWindow="0" windowWidth="27405" windowHeight="13080"/>
  </bookViews>
  <sheets>
    <sheet name="PN_A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5" i="1"/>
  <c r="E6" i="1"/>
  <c r="G6" i="1" s="1"/>
  <c r="E10" i="1"/>
  <c r="G10" i="1" s="1"/>
  <c r="E7" i="1"/>
  <c r="E8" i="1"/>
  <c r="E9" i="1"/>
  <c r="F9" i="1" s="1"/>
  <c r="F4" i="1"/>
  <c r="F5" i="1"/>
  <c r="F7" i="1"/>
  <c r="F8" i="1"/>
  <c r="G4" i="1"/>
  <c r="G5" i="1"/>
  <c r="G8" i="1"/>
  <c r="G9" i="1"/>
  <c r="H4" i="1"/>
  <c r="H5" i="1"/>
  <c r="H6" i="1"/>
  <c r="H10" i="1"/>
  <c r="H8" i="1"/>
  <c r="I4" i="1"/>
  <c r="I5" i="1"/>
  <c r="I8" i="1"/>
  <c r="I9" i="1"/>
  <c r="E3" i="1"/>
  <c r="F3" i="1" s="1"/>
  <c r="I3" i="1"/>
  <c r="G2" i="1"/>
  <c r="E2" i="1"/>
  <c r="I2" i="1" s="1"/>
  <c r="F10" i="1" l="1"/>
  <c r="H3" i="1"/>
  <c r="I10" i="1"/>
  <c r="H9" i="1"/>
  <c r="F6" i="1"/>
  <c r="I6" i="1"/>
  <c r="G3" i="1"/>
  <c r="G7" i="1"/>
  <c r="H7" i="1"/>
  <c r="I7" i="1"/>
  <c r="H2" i="1"/>
  <c r="F2" i="1"/>
</calcChain>
</file>

<file path=xl/sharedStrings.xml><?xml version="1.0" encoding="utf-8"?>
<sst xmlns="http://schemas.openxmlformats.org/spreadsheetml/2006/main" count="9" uniqueCount="9">
  <si>
    <t>text</t>
  </si>
  <si>
    <t>angle</t>
  </si>
  <si>
    <t>x1</t>
  </si>
  <si>
    <t>y1</t>
  </si>
  <si>
    <t>x2</t>
  </si>
  <si>
    <t>y2</t>
  </si>
  <si>
    <t>rad90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</si>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</sst>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8"/>
      <color theme="1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8"/>
      <color rgb="FFFFFF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8"/>
        <color theme="1" tint="0.499984740745262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 tint="0.499984740745262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 tint="0.499984740745262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 tint="0.499984740745262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 tint="0.499984740745262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au2" displayName="Tableau2" ref="A1:I10" totalsRowShown="0">
  <autoFilter ref="A1:I10"/>
  <sortState ref="A2:I5568">
    <sortCondition ref="C1:C5568"/>
  </sortState>
  <tableColumns count="9">
    <tableColumn id="1" name="X"/>
    <tableColumn id="2" name="Y"/>
    <tableColumn id="3" name="text"/>
    <tableColumn id="4" name="angle"/>
    <tableColumn id="5" name="rad90" dataDxfId="4">
      <calculatedColumnFormula>(Tableau2[angle]+90)*PI()/180</calculatedColumnFormula>
    </tableColumn>
    <tableColumn id="6" name="x1" dataDxfId="3">
      <calculatedColumnFormula>Tableau2[X]+5*COS(Tableau2[rad90])</calculatedColumnFormula>
    </tableColumn>
    <tableColumn id="7" name="y1" dataDxfId="2">
      <calculatedColumnFormula>Tableau2[Y]+5*SIN(Tableau2[rad90])</calculatedColumnFormula>
    </tableColumn>
    <tableColumn id="8" name="x2" dataDxfId="1">
      <calculatedColumnFormula>Tableau2[X]-5*COS(Tableau2[rad90])</calculatedColumnFormula>
    </tableColumn>
    <tableColumn id="9" name="y2" dataDxfId="0">
      <calculatedColumnFormula>Tableau2[Y]-5*SIN(Tableau2[rad90])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10"/>
  <sheetViews>
    <sheetView showGridLines="0" tabSelected="1" workbookViewId="0">
      <pane ySplit="1" topLeftCell="A2" activePane="bottomLeft" state="frozen"/>
      <selection pane="bottomLeft" activeCell="G7" sqref="G7"/>
    </sheetView>
  </sheetViews>
  <sheetFormatPr baseColWidth="10" defaultRowHeight="11.25" x14ac:dyDescent="0.2"/>
  <cols>
    <col min="1" max="2" width="12.1640625" bestFit="1" customWidth="1"/>
    <col min="3" max="3" width="6.6640625" bestFit="1" customWidth="1"/>
    <col min="4" max="9" width="12.1640625" bestFit="1" customWidth="1"/>
  </cols>
  <sheetData>
    <row r="1" spans="1:9" x14ac:dyDescent="0.2">
      <c r="A1" s="2" t="s">
        <v>7</v>
      </c>
      <c r="B1" s="2" t="s">
        <v>8</v>
      </c>
      <c r="C1" s="2" t="s">
        <v>0</v>
      </c>
      <c r="D1" s="2" t="s">
        <v>1</v>
      </c>
      <c r="E1" t="s">
        <v>6</v>
      </c>
      <c r="F1" t="s">
        <v>2</v>
      </c>
      <c r="G1" t="s">
        <v>3</v>
      </c>
      <c r="H1" t="s">
        <v>4</v>
      </c>
      <c r="I1" t="s">
        <v>5</v>
      </c>
    </row>
    <row r="2" spans="1:9" x14ac:dyDescent="0.2">
      <c r="A2">
        <v>177345.717493214</v>
      </c>
      <c r="B2">
        <v>6867391.6673066001</v>
      </c>
      <c r="C2">
        <v>1</v>
      </c>
      <c r="D2">
        <v>226.27954191860599</v>
      </c>
      <c r="E2" s="1">
        <f>(Tableau2[angle]+90)*PI()/180</f>
        <v>5.5201193631790977</v>
      </c>
      <c r="F2" s="1">
        <f>Tableau2[X]+5*COS(Tableau2[rad90])</f>
        <v>177349.33109527774</v>
      </c>
      <c r="G2" s="1">
        <f>Tableau2[Y]+5*SIN(Tableau2[rad90])</f>
        <v>6867388.2116040485</v>
      </c>
      <c r="H2" s="1">
        <f>Tableau2[X]-5*COS(Tableau2[rad90])</f>
        <v>177342.10389115027</v>
      </c>
      <c r="I2" s="1">
        <f>Tableau2[Y]-5*SIN(Tableau2[rad90])</f>
        <v>6867395.1230091518</v>
      </c>
    </row>
    <row r="3" spans="1:9" x14ac:dyDescent="0.2">
      <c r="A3">
        <v>177342.103575952</v>
      </c>
      <c r="B3">
        <v>6867387.8882606104</v>
      </c>
      <c r="C3">
        <v>2</v>
      </c>
      <c r="D3">
        <v>226.279541915149</v>
      </c>
      <c r="E3" s="1">
        <f>(Tableau2[angle]+90)*PI()/180</f>
        <v>5.5201193631187628</v>
      </c>
      <c r="F3" s="1">
        <f>Tableau2[X]+5*COS(Tableau2[rad90])</f>
        <v>177345.71717801553</v>
      </c>
      <c r="G3" s="1">
        <f>Tableau2[Y]+5*SIN(Tableau2[rad90])</f>
        <v>6867384.4325580588</v>
      </c>
      <c r="H3" s="1">
        <f>Tableau2[X]-5*COS(Tableau2[rad90])</f>
        <v>177338.48997388847</v>
      </c>
      <c r="I3" s="1">
        <f>Tableau2[Y]-5*SIN(Tableau2[rad90])</f>
        <v>6867391.343963162</v>
      </c>
    </row>
    <row r="4" spans="1:9" x14ac:dyDescent="0.2">
      <c r="A4">
        <v>177335.19229409401</v>
      </c>
      <c r="B4">
        <v>6867380.6609386299</v>
      </c>
      <c r="C4">
        <v>3</v>
      </c>
      <c r="D4">
        <v>226.279541915149</v>
      </c>
      <c r="E4" s="1">
        <f>(Tableau2[angle]+90)*PI()/180</f>
        <v>5.5201193631187628</v>
      </c>
      <c r="F4" s="1">
        <f>Tableau2[X]+5*COS(Tableau2[rad90])</f>
        <v>177338.80589615754</v>
      </c>
      <c r="G4" s="1">
        <f>Tableau2[Y]+5*SIN(Tableau2[rad90])</f>
        <v>6867377.2052360782</v>
      </c>
      <c r="H4" s="1">
        <f>Tableau2[X]-5*COS(Tableau2[rad90])</f>
        <v>177331.57869203048</v>
      </c>
      <c r="I4" s="1">
        <f>Tableau2[Y]-5*SIN(Tableau2[rad90])</f>
        <v>6867384.1166411815</v>
      </c>
    </row>
    <row r="5" spans="1:9" x14ac:dyDescent="0.2">
      <c r="A5">
        <v>177333.26837355201</v>
      </c>
      <c r="B5">
        <v>6867377.50725336</v>
      </c>
      <c r="C5">
        <v>4</v>
      </c>
      <c r="D5">
        <v>250.95467472953999</v>
      </c>
      <c r="E5" s="1">
        <f>(Tableau2[angle]+90)*PI()/180</f>
        <v>5.9507816740967794</v>
      </c>
      <c r="F5" s="1">
        <f>Tableau2[X]+5*COS(Tableau2[rad90])</f>
        <v>177337.99467720641</v>
      </c>
      <c r="G5" s="1">
        <f>Tableau2[Y]+5*SIN(Tableau2[rad90])</f>
        <v>6867375.8756732158</v>
      </c>
      <c r="H5" s="1">
        <f>Tableau2[X]-5*COS(Tableau2[rad90])</f>
        <v>177328.54206989761</v>
      </c>
      <c r="I5" s="1">
        <f>Tableau2[Y]-5*SIN(Tableau2[rad90])</f>
        <v>6867379.1388335042</v>
      </c>
    </row>
    <row r="6" spans="1:9" x14ac:dyDescent="0.2">
      <c r="A6">
        <v>177330.42008332</v>
      </c>
      <c r="B6">
        <v>6867369.25642695</v>
      </c>
      <c r="C6">
        <v>5</v>
      </c>
      <c r="D6">
        <v>250.95467473008401</v>
      </c>
      <c r="E6" s="1">
        <f>(Tableau2[angle]+90)*PI()/180</f>
        <v>5.9507816741062731</v>
      </c>
      <c r="F6" s="1">
        <f>Tableau2[X]+5*COS(Tableau2[rad90])</f>
        <v>177335.1463869744</v>
      </c>
      <c r="G6" s="1">
        <f>Tableau2[Y]+5*SIN(Tableau2[rad90])</f>
        <v>6867367.6248468058</v>
      </c>
      <c r="H6" s="1">
        <f>Tableau2[X]-5*COS(Tableau2[rad90])</f>
        <v>177325.6937796656</v>
      </c>
      <c r="I6" s="1">
        <f>Tableau2[Y]-5*SIN(Tableau2[rad90])</f>
        <v>6867370.8880070942</v>
      </c>
    </row>
    <row r="7" spans="1:9" x14ac:dyDescent="0.2">
      <c r="A7">
        <v>177329.950623346</v>
      </c>
      <c r="B7">
        <v>6867366.1810768703</v>
      </c>
      <c r="C7">
        <v>6</v>
      </c>
      <c r="D7">
        <v>271.68664125138099</v>
      </c>
      <c r="E7" s="1">
        <f>(Tableau2[angle]+90)*PI()/180</f>
        <v>6.3126227503161418</v>
      </c>
      <c r="F7" s="1">
        <f>Tableau2[X]+5*COS(Tableau2[rad90])</f>
        <v>177334.94845709478</v>
      </c>
      <c r="G7" s="1">
        <f>Tableau2[Y]+5*SIN(Tableau2[rad90])</f>
        <v>6867366.3282428291</v>
      </c>
      <c r="H7" s="1">
        <f>Tableau2[X]-5*COS(Tableau2[rad90])</f>
        <v>177324.95278959721</v>
      </c>
      <c r="I7" s="1">
        <f>Tableau2[Y]-5*SIN(Tableau2[rad90])</f>
        <v>6867366.0339109115</v>
      </c>
    </row>
    <row r="8" spans="1:9" x14ac:dyDescent="0.2">
      <c r="A8">
        <v>177330.618619307</v>
      </c>
      <c r="B8">
        <v>6867363.0944428695</v>
      </c>
      <c r="C8">
        <v>7</v>
      </c>
      <c r="D8">
        <v>292.73613011536003</v>
      </c>
      <c r="E8" s="1">
        <f>(Tableau2[angle]+90)*PI()/180</f>
        <v>6.6800056368544576</v>
      </c>
      <c r="F8" s="1">
        <f>Tableau2[X]+5*COS(Tableau2[rad90])</f>
        <v>177335.23009209582</v>
      </c>
      <c r="G8" s="1">
        <f>Tableau2[Y]+5*SIN(Tableau2[rad90])</f>
        <v>6867365.0268814117</v>
      </c>
      <c r="H8" s="1">
        <f>Tableau2[X]-5*COS(Tableau2[rad90])</f>
        <v>177326.00714651818</v>
      </c>
      <c r="I8" s="1">
        <f>Tableau2[Y]-5*SIN(Tableau2[rad90])</f>
        <v>6867361.1620043274</v>
      </c>
    </row>
    <row r="9" spans="1:9" x14ac:dyDescent="0.2">
      <c r="A9">
        <v>177332.553646452</v>
      </c>
      <c r="B9">
        <v>6867360.2488964498</v>
      </c>
      <c r="C9">
        <v>8</v>
      </c>
      <c r="D9">
        <v>315.69680473760798</v>
      </c>
      <c r="E9" s="1">
        <f>(Tableau2[angle]+90)*PI()/180</f>
        <v>7.0807450074917888</v>
      </c>
      <c r="F9" s="1">
        <f>Tableau2[X]+5*COS(Tableau2[rad90])</f>
        <v>177336.04592243696</v>
      </c>
      <c r="G9" s="1">
        <f>Tableau2[Y]+5*SIN(Tableau2[rad90])</f>
        <v>6867363.8271653671</v>
      </c>
      <c r="H9" s="1">
        <f>Tableau2[X]-5*COS(Tableau2[rad90])</f>
        <v>177329.06137046704</v>
      </c>
      <c r="I9" s="1">
        <f>Tableau2[Y]-5*SIN(Tableau2[rad90])</f>
        <v>6867356.6706275325</v>
      </c>
    </row>
    <row r="10" spans="1:9" x14ac:dyDescent="0.2">
      <c r="A10">
        <v>177334.87234141299</v>
      </c>
      <c r="B10">
        <v>6867358.6317852801</v>
      </c>
      <c r="C10">
        <v>9</v>
      </c>
      <c r="D10">
        <v>334.51758545663603</v>
      </c>
      <c r="E10" s="1">
        <f>(Tableau2[angle]+90)*PI()/180</f>
        <v>7.4092295988346946</v>
      </c>
      <c r="F10" s="1">
        <f>Tableau2[X]+5*COS(Tableau2[rad90])</f>
        <v>177337.02351166971</v>
      </c>
      <c r="G10" s="1">
        <f>Tableau2[Y]+5*SIN(Tableau2[rad90])</f>
        <v>6867363.1453721607</v>
      </c>
      <c r="H10" s="1">
        <f>Tableau2[X]-5*COS(Tableau2[rad90])</f>
        <v>177332.72117115627</v>
      </c>
      <c r="I10" s="1">
        <f>Tableau2[Y]-5*SIN(Tableau2[rad90])</f>
        <v>6867354.1181983994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PN_A</vt:lpstr>
    </vt:vector>
  </TitlesOfParts>
  <Company>RTE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BLANC Nicolas</dc:creator>
  <cp:lastModifiedBy>BLANC Nicolas</cp:lastModifiedBy>
  <dcterms:created xsi:type="dcterms:W3CDTF">2021-12-13T16:34:44Z</dcterms:created>
  <dcterms:modified xsi:type="dcterms:W3CDTF">2022-11-30T10:35:05Z</dcterms:modified>
</cp:coreProperties>
</file>